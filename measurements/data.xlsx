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repo\vpv\measurements\"/>
    </mc:Choice>
  </mc:AlternateContent>
  <xr:revisionPtr revIDLastSave="0" documentId="13_ncr:1_{42E0938B-D576-4BB2-ABF2-1B0CF6AEC7EC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Температурная зависимость (3)" sheetId="7" r:id="rId1"/>
    <sheet name="Температурная зависимость (2)" sheetId="6" r:id="rId2"/>
    <sheet name="Метод ДШ" sheetId="1" r:id="rId3"/>
    <sheet name="Температурная зависимость" sheetId="3" r:id="rId4"/>
    <sheet name="Черновик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7" l="1"/>
  <c r="G6" i="7"/>
  <c r="G7" i="7"/>
  <c r="G8" i="7"/>
  <c r="G4" i="7"/>
  <c r="F8" i="7"/>
  <c r="E8" i="7"/>
  <c r="H8" i="7" s="1"/>
  <c r="I8" i="7" s="1"/>
  <c r="F7" i="7"/>
  <c r="E7" i="7"/>
  <c r="H7" i="7" s="1"/>
  <c r="I7" i="7" s="1"/>
  <c r="F6" i="7"/>
  <c r="E6" i="7"/>
  <c r="H6" i="7" s="1"/>
  <c r="I6" i="7" s="1"/>
  <c r="F5" i="7"/>
  <c r="E5" i="7"/>
  <c r="H5" i="7" s="1"/>
  <c r="I5" i="7" s="1"/>
  <c r="F4" i="7"/>
  <c r="E4" i="7"/>
  <c r="H4" i="7" s="1"/>
  <c r="I4" i="7" s="1"/>
  <c r="H5" i="6"/>
  <c r="H6" i="6"/>
  <c r="H7" i="6"/>
  <c r="H8" i="6"/>
  <c r="H4" i="6"/>
  <c r="G5" i="6"/>
  <c r="G6" i="6"/>
  <c r="G7" i="6"/>
  <c r="G8" i="6"/>
  <c r="G4" i="6"/>
  <c r="D5" i="6"/>
  <c r="D6" i="6"/>
  <c r="D7" i="6"/>
  <c r="D8" i="6"/>
  <c r="D4" i="6"/>
  <c r="E8" i="6"/>
  <c r="F8" i="6"/>
  <c r="F7" i="6"/>
  <c r="E7" i="6"/>
  <c r="F6" i="6"/>
  <c r="E6" i="6"/>
  <c r="F5" i="6"/>
  <c r="E5" i="6"/>
  <c r="F4" i="6"/>
  <c r="E4" i="6"/>
  <c r="F23" i="1"/>
  <c r="F24" i="1"/>
  <c r="F25" i="1"/>
  <c r="F26" i="1"/>
  <c r="F22" i="1"/>
  <c r="E22" i="1"/>
  <c r="E23" i="1"/>
  <c r="E24" i="1"/>
  <c r="E25" i="1"/>
  <c r="E26" i="1"/>
  <c r="F11" i="1"/>
  <c r="F12" i="1"/>
  <c r="F13" i="1"/>
  <c r="F14" i="1"/>
  <c r="F15" i="1"/>
  <c r="F16" i="1"/>
  <c r="E11" i="1"/>
  <c r="E12" i="1"/>
  <c r="E13" i="1"/>
  <c r="E14" i="1"/>
  <c r="E15" i="1"/>
  <c r="E16" i="1"/>
  <c r="M2" i="1"/>
  <c r="L3" i="1"/>
  <c r="L4" i="1"/>
  <c r="L5" i="1"/>
  <c r="L6" i="1"/>
  <c r="L7" i="1"/>
  <c r="L8" i="1"/>
  <c r="L2" i="1"/>
  <c r="K3" i="1"/>
  <c r="K4" i="1"/>
  <c r="K5" i="1"/>
  <c r="K6" i="1"/>
  <c r="K7" i="1"/>
  <c r="K8" i="1"/>
  <c r="K2" i="1"/>
  <c r="E4" i="3"/>
  <c r="F4" i="3" s="1"/>
  <c r="D4" i="3"/>
  <c r="E10" i="3"/>
  <c r="F10" i="3" s="1"/>
  <c r="D10" i="3"/>
  <c r="E9" i="3"/>
  <c r="F9" i="3" s="1"/>
  <c r="D9" i="3"/>
  <c r="E5" i="3"/>
  <c r="F5" i="3" s="1"/>
  <c r="D5" i="3"/>
  <c r="E8" i="3"/>
  <c r="F8" i="3" s="1"/>
  <c r="D8" i="3"/>
  <c r="E6" i="3"/>
  <c r="F6" i="3" s="1"/>
  <c r="E7" i="3"/>
  <c r="F7" i="3" s="1"/>
  <c r="D6" i="3"/>
  <c r="D7" i="3"/>
  <c r="E3" i="3"/>
  <c r="F3" i="3" s="1"/>
  <c r="E2" i="3"/>
  <c r="F2" i="3" s="1"/>
  <c r="D3" i="3"/>
  <c r="D2" i="3"/>
  <c r="C3" i="3"/>
  <c r="F3" i="1"/>
  <c r="F4" i="1"/>
  <c r="F5" i="1"/>
  <c r="F6" i="1"/>
  <c r="F7" i="1"/>
  <c r="F8" i="1"/>
  <c r="F2" i="1"/>
  <c r="E3" i="1"/>
  <c r="E4" i="1"/>
  <c r="E5" i="1"/>
  <c r="E6" i="1"/>
  <c r="E7" i="1"/>
  <c r="E8" i="1"/>
  <c r="E2" i="1"/>
  <c r="B3" i="2"/>
  <c r="D3" i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<sst xmlns="http://schemas.openxmlformats.org/spreadsheetml/2006/main" count="37" uniqueCount="16">
  <si>
    <t>L, мм</t>
  </si>
  <si>
    <t>f, Гц</t>
  </si>
  <si>
    <t>df, Гц</t>
  </si>
  <si>
    <t>Q</t>
  </si>
  <si>
    <t>№</t>
  </si>
  <si>
    <t>f**-2</t>
  </si>
  <si>
    <t>t, C</t>
  </si>
  <si>
    <t>T, К</t>
  </si>
  <si>
    <t>f*f, Гц*Гц</t>
  </si>
  <si>
    <t>slope</t>
  </si>
  <si>
    <t>intercept</t>
  </si>
  <si>
    <t>sigma f, Гц</t>
  </si>
  <si>
    <t>e(f)</t>
  </si>
  <si>
    <t>e(f*f) = 2e(f)</t>
  </si>
  <si>
    <t>sigma f*f, Гц*Гц</t>
  </si>
  <si>
    <t>sigma L,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</si>
</sst>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/>
    <xf numFmtId="165" fontId="0" fillId="0" borderId="1" xfId="0" applyNumberFormat="1" applyBorder="1"/>
    <xf numFmtId="0" fontId="0" fillId="0" borderId="4" xfId="0" applyBorder="1" applyAlignment="1">
      <alignment horizontal="right"/>
    </xf>
    <xf numFmtId="165" fontId="0" fillId="0" borderId="0" xfId="0" applyNumberFormat="1"/>
    <xf numFmtId="0" fontId="0" fillId="2" borderId="0" xfId="0" applyFill="1"/>
    <xf numFmtId="165" fontId="0" fillId="0" borderId="5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'Температурная зависимость (3)'!$G$1</c:f>
              <c:strCache>
                <c:ptCount val="1"/>
                <c:pt idx="0">
                  <c:v>f*f, Гц*Гц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'Температурная зависимость (3)'!$F$2:$F$34</c:f>
              <c:numCache>
                <c:formatCode>General</c:formatCode>
                <c:ptCount val="33"/>
                <c:pt idx="2">
                  <c:v>303.29999999999995</c:v>
                </c:pt>
                <c:pt idx="3">
                  <c:v>313.54999999999995</c:v>
                </c:pt>
                <c:pt idx="4">
                  <c:v>323.39999999999998</c:v>
                </c:pt>
                <c:pt idx="5">
                  <c:v>333.9</c:v>
                </c:pt>
                <c:pt idx="6">
                  <c:v>343.15</c:v>
                </c:pt>
              </c:numCache>
            </c:numRef>
          </c:xVal>
          <c:yVal>
            <c:numRef>
              <c:f>'Температурная зависимость (3)'!$G$2:$G$34</c:f>
              <c:numCache>
                <c:formatCode>General</c:formatCode>
                <c:ptCount val="33"/>
                <c:pt idx="2">
                  <c:v>2.5328196437386548E-5</c:v>
                </c:pt>
                <c:pt idx="3">
                  <c:v>2.9762888000169047E-5</c:v>
                </c:pt>
                <c:pt idx="4">
                  <c:v>3.5262721379364815E-5</c:v>
                </c:pt>
                <c:pt idx="5">
                  <c:v>4.0261279600092766E-5</c:v>
                </c:pt>
                <c:pt idx="6">
                  <c:v>4.5469240286292519E-5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1D-4395-8884-4A93BC103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650344"/>
        <c:axId val="614653944"/>
      </c:scatterChart>
      <c:valAx>
        <c:axId val="614650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4653944"/>
        <c:crosses val="autoZero"/>
        <c:crossBetween val="midCat"/>
      </c:valAx>
      <c:valAx>
        <c:axId val="614653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4650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'Температурная зависимость (2)'!$F$1</c:f>
              <c:strCache>
                <c:ptCount val="1"/>
                <c:pt idx="0">
                  <c:v>f*f, Гц*Гц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'Температурная зависимость (2)'!$E$2:$E$34</c:f>
              <c:numCache>
                <c:formatCode>General</c:formatCode>
                <c:ptCount val="33"/>
                <c:pt idx="2">
                  <c:v>303.14999999999998</c:v>
                </c:pt>
                <c:pt idx="3">
                  <c:v>313.14999999999998</c:v>
                </c:pt>
                <c:pt idx="4">
                  <c:v>323.14999999999998</c:v>
                </c:pt>
                <c:pt idx="5">
                  <c:v>333.15</c:v>
                </c:pt>
                <c:pt idx="6">
                  <c:v>343.15</c:v>
                </c:pt>
              </c:numCache>
            </c:numRef>
          </c:xVal>
          <c:yVal>
            <c:numRef>
              <c:f>'Температурная зависимость (2)'!$F$2:$F$34</c:f>
              <c:numCache>
                <c:formatCode>General</c:formatCode>
                <c:ptCount val="33"/>
                <c:pt idx="2">
                  <c:v>40521.69</c:v>
                </c:pt>
                <c:pt idx="3">
                  <c:v>41412.25</c:v>
                </c:pt>
                <c:pt idx="4">
                  <c:v>42724.889999999992</c:v>
                </c:pt>
                <c:pt idx="5">
                  <c:v>43597.440000000002</c:v>
                </c:pt>
                <c:pt idx="6">
                  <c:v>44901.61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B9-42CB-9226-547A24CDE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650344"/>
        <c:axId val="614653944"/>
      </c:scatterChart>
      <c:valAx>
        <c:axId val="614650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4653944"/>
        <c:crosses val="autoZero"/>
        <c:crossBetween val="midCat"/>
      </c:valAx>
      <c:valAx>
        <c:axId val="614653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4650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'Метод ДШ'!$A$22:$A$26</c:f>
              <c:numCache>
                <c:formatCode>0.00</c:formatCode>
                <c:ptCount val="5"/>
                <c:pt idx="0">
                  <c:v>30.15</c:v>
                </c:pt>
                <c:pt idx="1">
                  <c:v>40.4</c:v>
                </c:pt>
                <c:pt idx="2">
                  <c:v>50.25</c:v>
                </c:pt>
                <c:pt idx="3">
                  <c:v>60.75</c:v>
                </c:pt>
                <c:pt idx="4">
                  <c:v>70</c:v>
                </c:pt>
              </c:numCache>
            </c:numRef>
          </c:xVal>
          <c:yVal>
            <c:numRef>
              <c:f>'Метод ДШ'!$E$22:$E$26</c:f>
              <c:numCache>
                <c:formatCode>0.00000000</c:formatCode>
                <c:ptCount val="5"/>
                <c:pt idx="0">
                  <c:v>2.5328196437386548E-5</c:v>
                </c:pt>
                <c:pt idx="1">
                  <c:v>2.9762888000169047E-5</c:v>
                </c:pt>
                <c:pt idx="2">
                  <c:v>3.5262721379364815E-5</c:v>
                </c:pt>
                <c:pt idx="3">
                  <c:v>4.0261279600092766E-5</c:v>
                </c:pt>
                <c:pt idx="4">
                  <c:v>4.5469240286292519E-5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86-42F3-91C4-26590C212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728240"/>
        <c:axId val="606728600"/>
      </c:scatterChart>
      <c:valAx>
        <c:axId val="60672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6728600"/>
        <c:crosses val="autoZero"/>
        <c:crossBetween val="midCat"/>
      </c:valAx>
      <c:valAx>
        <c:axId val="606728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6728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'Температурная зависимость'!$E$1</c:f>
              <c:strCache>
                <c:ptCount val="1"/>
                <c:pt idx="0">
                  <c:v>f*f, Гц*Гц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'Температурная зависимость'!$D$2:$D$34</c:f>
              <c:numCache>
                <c:formatCode>General</c:formatCode>
                <c:ptCount val="33"/>
                <c:pt idx="0">
                  <c:v>276.14999999999998</c:v>
                </c:pt>
                <c:pt idx="1">
                  <c:v>288.14999999999998</c:v>
                </c:pt>
                <c:pt idx="2">
                  <c:v>298.14999999999998</c:v>
                </c:pt>
                <c:pt idx="3">
                  <c:v>308.14999999999998</c:v>
                </c:pt>
                <c:pt idx="4">
                  <c:v>318.14999999999998</c:v>
                </c:pt>
                <c:pt idx="5">
                  <c:v>328.15</c:v>
                </c:pt>
                <c:pt idx="6">
                  <c:v>338.15</c:v>
                </c:pt>
                <c:pt idx="7">
                  <c:v>348.15</c:v>
                </c:pt>
                <c:pt idx="8">
                  <c:v>353.15</c:v>
                </c:pt>
              </c:numCache>
            </c:numRef>
          </c:xVal>
          <c:yVal>
            <c:numRef>
              <c:f>'Температурная зависимость'!$E$2:$E$34</c:f>
              <c:numCache>
                <c:formatCode>General</c:formatCode>
                <c:ptCount val="33"/>
                <c:pt idx="0">
                  <c:v>16129</c:v>
                </c:pt>
                <c:pt idx="1">
                  <c:v>16512.25</c:v>
                </c:pt>
                <c:pt idx="2">
                  <c:v>16900</c:v>
                </c:pt>
                <c:pt idx="3">
                  <c:v>17265.960000000003</c:v>
                </c:pt>
                <c:pt idx="4">
                  <c:v>17822.25</c:v>
                </c:pt>
                <c:pt idx="5">
                  <c:v>18063.36</c:v>
                </c:pt>
                <c:pt idx="6">
                  <c:v>18632.25</c:v>
                </c:pt>
                <c:pt idx="7">
                  <c:v>19182.25</c:v>
                </c:pt>
                <c:pt idx="8">
                  <c:v>19293.210000000003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07-4496-8AA1-0CE6486E9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650344"/>
        <c:axId val="614653944"/>
      </c:scatterChart>
      <c:valAx>
        <c:axId val="614650344"/>
        <c:scaling>
          <c:orientation val="minMax"/>
          <c:min val="2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4653944"/>
        <c:crosses val="autoZero"/>
        <c:crossBetween val="midCat"/>
      </c:valAx>
      <c:valAx>
        <c:axId val="614653944"/>
        <c:scaling>
          <c:orientation val="minMax"/>
          <c:min val="1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4650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600074</xdr:colOff>
      <xdr:row>0</xdr:row>
      <xdr:rowOff>128587</xdr:rowOff>
    </xdr:from>
    <xdr:to>
      <xdr:col>22</xdr:col>
      <xdr:colOff>438149</xdr:colOff>
      <xdr:row>26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BBC4B62-179D-48FE-AC57-9B960A6272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600074</xdr:colOff>
      <xdr:row>0</xdr:row>
      <xdr:rowOff>128587</xdr:rowOff>
    </xdr:from>
    <xdr:to>
      <xdr:col>21</xdr:col>
      <xdr:colOff>438149</xdr:colOff>
      <xdr:row>26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825C481-53CA-4C14-B5B2-241A70A1FB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314324</xdr:colOff>
      <xdr:row>14</xdr:row>
      <xdr:rowOff>176212</xdr:rowOff>
    </xdr:from>
    <xdr:to>
      <xdr:col>14</xdr:col>
      <xdr:colOff>476249</xdr:colOff>
      <xdr:row>39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DF3519C-5381-16D0-88C3-2676EDE17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38099</xdr:colOff>
      <xdr:row>0</xdr:row>
      <xdr:rowOff>185737</xdr:rowOff>
    </xdr:from>
    <xdr:to>
      <xdr:col>16</xdr:col>
      <xdr:colOff>485774</xdr:colOff>
      <xdr:row>31</xdr:row>
      <xdr:rowOff>142875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9CD6679-4BB9-EAAD-E38D-D5520853E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73521-CFFD-42AE-82C9-C14733B35341}">
  <dimension ref="A1:I34"/>
  <sheetViews>
    <sheetView workbookViewId="0">
      <selection activeCell="H12" sqref="H12"/>
    </sheetView>
  </sheetViews>
  <sheetFormatPr defaultRowHeight="15" x14ac:dyDescent="0.25"/>
  <cols>
    <col min="7" max="7" width="12" bestFit="1" customWidth="1"/>
  </cols>
  <sheetData>
    <row r="1" spans="1:9" x14ac:dyDescent="0.25">
      <c r="A1" t="s">
        <v>0</v>
      </c>
      <c r="B1" t="s">
        <v>15</v>
      </c>
      <c r="C1" t="s">
        <v>1</v>
      </c>
      <c r="D1" t="s">
        <v>11</v>
      </c>
      <c r="E1" t="s">
        <v>12</v>
      </c>
      <c r="F1" t="s">
        <v>7</v>
      </c>
      <c r="G1" t="s">
        <v>8</v>
      </c>
      <c r="H1" t="s">
        <v>13</v>
      </c>
      <c r="I1" t="s">
        <v>14</v>
      </c>
    </row>
    <row r="2" spans="1:9" x14ac:dyDescent="0.25">
      <c r="C2" s="11"/>
    </row>
    <row r="3" spans="1:9" x14ac:dyDescent="0.25">
      <c r="C3" s="11"/>
    </row>
    <row r="4" spans="1:9" x14ac:dyDescent="0.25">
      <c r="A4">
        <v>30.15</v>
      </c>
      <c r="B4">
        <v>0.05</v>
      </c>
      <c r="C4" s="11">
        <v>198.7</v>
      </c>
      <c r="D4">
        <v>0.5</v>
      </c>
      <c r="E4">
        <f>D4/C4</f>
        <v>2.5163563160543532E-3</v>
      </c>
      <c r="F4">
        <f>273.15+A4</f>
        <v>303.29999999999995</v>
      </c>
      <c r="G4">
        <f>1/(C4*C4)</f>
        <v>2.5328196437386548E-5</v>
      </c>
      <c r="H4">
        <f>2*E4</f>
        <v>5.0327126321087065E-3</v>
      </c>
      <c r="I4">
        <f>H4*G4</f>
        <v>1.2746953415896603E-7</v>
      </c>
    </row>
    <row r="5" spans="1:9" x14ac:dyDescent="0.25">
      <c r="A5">
        <v>40.4</v>
      </c>
      <c r="B5">
        <v>0.05</v>
      </c>
      <c r="C5" s="11">
        <v>183.3</v>
      </c>
      <c r="D5">
        <v>0.5</v>
      </c>
      <c r="E5">
        <f t="shared" ref="E5:E8" si="0">D5/C5</f>
        <v>2.7277686852154935E-3</v>
      </c>
      <c r="F5">
        <f>273.15+A5</f>
        <v>313.54999999999995</v>
      </c>
      <c r="G5">
        <f t="shared" ref="G5:G8" si="1">1/(C5*C5)</f>
        <v>2.9762888000169047E-5</v>
      </c>
      <c r="H5">
        <f t="shared" ref="H5:H8" si="2">2*E5</f>
        <v>5.455537370430987E-3</v>
      </c>
      <c r="I5">
        <f t="shared" ref="I5:I8" si="3">H5*G5</f>
        <v>1.6237254773687421E-7</v>
      </c>
    </row>
    <row r="6" spans="1:9" x14ac:dyDescent="0.25">
      <c r="A6">
        <v>50.25</v>
      </c>
      <c r="B6">
        <v>0.05</v>
      </c>
      <c r="C6" s="11">
        <v>168.4</v>
      </c>
      <c r="D6">
        <v>0.5</v>
      </c>
      <c r="E6">
        <f t="shared" si="0"/>
        <v>2.9691211401425177E-3</v>
      </c>
      <c r="F6">
        <f>273.15+A6</f>
        <v>323.39999999999998</v>
      </c>
      <c r="G6">
        <f t="shared" si="1"/>
        <v>3.5262721379364815E-5</v>
      </c>
      <c r="H6">
        <f t="shared" si="2"/>
        <v>5.9382422802850355E-3</v>
      </c>
      <c r="I6">
        <f t="shared" si="3"/>
        <v>2.0939858301285518E-7</v>
      </c>
    </row>
    <row r="7" spans="1:9" x14ac:dyDescent="0.25">
      <c r="A7">
        <v>60.75</v>
      </c>
      <c r="B7">
        <v>0.05</v>
      </c>
      <c r="C7" s="11">
        <v>157.6</v>
      </c>
      <c r="D7">
        <v>0.5</v>
      </c>
      <c r="E7">
        <f t="shared" si="0"/>
        <v>3.1725888324873096E-3</v>
      </c>
      <c r="F7">
        <f>273.15+A7</f>
        <v>333.9</v>
      </c>
      <c r="G7">
        <f t="shared" si="1"/>
        <v>4.0261279600092766E-5</v>
      </c>
      <c r="H7">
        <f t="shared" si="2"/>
        <v>6.3451776649746192E-3</v>
      </c>
      <c r="I7">
        <f t="shared" si="3"/>
        <v>2.5546497208180689E-7</v>
      </c>
    </row>
    <row r="8" spans="1:9" x14ac:dyDescent="0.25">
      <c r="A8">
        <v>70</v>
      </c>
      <c r="B8">
        <v>0.05</v>
      </c>
      <c r="C8" s="11">
        <v>148.30000000000001</v>
      </c>
      <c r="D8">
        <v>0.5</v>
      </c>
      <c r="E8">
        <f t="shared" si="0"/>
        <v>3.3715441672285905E-3</v>
      </c>
      <c r="F8">
        <f>273.15+A8</f>
        <v>343.15</v>
      </c>
      <c r="G8">
        <f t="shared" si="1"/>
        <v>4.5469240286292519E-5</v>
      </c>
      <c r="H8">
        <f t="shared" si="2"/>
        <v>6.7430883344571811E-3</v>
      </c>
      <c r="I8">
        <f t="shared" si="3"/>
        <v>3.0660310375112959E-7</v>
      </c>
    </row>
    <row r="9" spans="1:9" x14ac:dyDescent="0.25">
      <c r="C9" s="11"/>
    </row>
    <row r="10" spans="1:9" x14ac:dyDescent="0.25">
      <c r="C10" s="11"/>
    </row>
    <row r="11" spans="1:9" x14ac:dyDescent="0.25">
      <c r="C11" s="11"/>
    </row>
    <row r="21" spans="1:4" x14ac:dyDescent="0.25">
      <c r="A21" t="s">
        <v>10</v>
      </c>
      <c r="C21" t="s">
        <v>9</v>
      </c>
    </row>
    <row r="22" spans="1:4" x14ac:dyDescent="0.25">
      <c r="A22">
        <v>15888.58743</v>
      </c>
      <c r="C22">
        <v>42.210030000000003</v>
      </c>
      <c r="D22">
        <v>1.26118</v>
      </c>
    </row>
    <row r="34" spans="6:7" x14ac:dyDescent="0.25">
      <c r="F34" s="12"/>
      <c r="G34" s="1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205E2-5FF2-4D2D-B6A8-F4E1F19BB4D2}">
  <dimension ref="A1:H34"/>
  <sheetViews>
    <sheetView workbookViewId="0">
      <selection activeCell="D24" sqref="D24"/>
    </sheetView>
  </sheetViews>
  <sheetFormatPr defaultRowHeight="15" x14ac:dyDescent="0.25"/>
  <sheetData>
    <row r="1" spans="1:8" x14ac:dyDescent="0.25">
      <c r="A1" t="s">
        <v>6</v>
      </c>
      <c r="B1" t="s">
        <v>1</v>
      </c>
      <c r="C1" t="s">
        <v>11</v>
      </c>
      <c r="D1" t="s">
        <v>12</v>
      </c>
      <c r="E1" t="s">
        <v>7</v>
      </c>
      <c r="F1" t="s">
        <v>8</v>
      </c>
      <c r="G1" t="s">
        <v>13</v>
      </c>
      <c r="H1" t="s">
        <v>14</v>
      </c>
    </row>
    <row r="2" spans="1:8" x14ac:dyDescent="0.25">
      <c r="B2" s="11"/>
    </row>
    <row r="3" spans="1:8" x14ac:dyDescent="0.25">
      <c r="B3" s="11"/>
    </row>
    <row r="4" spans="1:8" x14ac:dyDescent="0.25">
      <c r="A4">
        <v>30</v>
      </c>
      <c r="B4" s="11">
        <v>201.3</v>
      </c>
      <c r="C4">
        <v>0.5</v>
      </c>
      <c r="D4">
        <f>C4/B4</f>
        <v>2.4838549428713363E-3</v>
      </c>
      <c r="E4">
        <f>273.15+A4</f>
        <v>303.14999999999998</v>
      </c>
      <c r="F4">
        <f>B4*B4</f>
        <v>40521.69</v>
      </c>
      <c r="G4">
        <f>2*D4</f>
        <v>4.9677098857426726E-3</v>
      </c>
      <c r="H4">
        <f>G4*F4</f>
        <v>201.3</v>
      </c>
    </row>
    <row r="5" spans="1:8" x14ac:dyDescent="0.25">
      <c r="A5">
        <v>40</v>
      </c>
      <c r="B5" s="11">
        <v>203.5</v>
      </c>
      <c r="C5">
        <v>0.5</v>
      </c>
      <c r="D5">
        <f t="shared" ref="D5:D8" si="0">C5/B5</f>
        <v>2.4570024570024569E-3</v>
      </c>
      <c r="E5">
        <f>273.15+A5</f>
        <v>313.14999999999998</v>
      </c>
      <c r="F5">
        <f>B5*B5</f>
        <v>41412.25</v>
      </c>
      <c r="G5">
        <f t="shared" ref="G5:G8" si="1">2*D5</f>
        <v>4.9140049140049139E-3</v>
      </c>
      <c r="H5">
        <f t="shared" ref="H5:H8" si="2">G5*F5</f>
        <v>203.5</v>
      </c>
    </row>
    <row r="6" spans="1:8" x14ac:dyDescent="0.25">
      <c r="A6">
        <v>50</v>
      </c>
      <c r="B6" s="11">
        <v>206.7</v>
      </c>
      <c r="C6">
        <v>0.5</v>
      </c>
      <c r="D6">
        <f t="shared" si="0"/>
        <v>2.4189646831156266E-3</v>
      </c>
      <c r="E6">
        <f>273.15+A6</f>
        <v>323.14999999999998</v>
      </c>
      <c r="F6">
        <f>B6*B6</f>
        <v>42724.889999999992</v>
      </c>
      <c r="G6">
        <f t="shared" si="1"/>
        <v>4.8379293662312532E-3</v>
      </c>
      <c r="H6">
        <f t="shared" si="2"/>
        <v>206.69999999999996</v>
      </c>
    </row>
    <row r="7" spans="1:8" x14ac:dyDescent="0.25">
      <c r="A7">
        <v>60</v>
      </c>
      <c r="B7" s="11">
        <v>208.8</v>
      </c>
      <c r="C7">
        <v>0.5</v>
      </c>
      <c r="D7">
        <f t="shared" si="0"/>
        <v>2.3946360153256703E-3</v>
      </c>
      <c r="E7">
        <f>273.15+A7</f>
        <v>333.15</v>
      </c>
      <c r="F7">
        <f>B7*B7</f>
        <v>43597.440000000002</v>
      </c>
      <c r="G7">
        <f t="shared" si="1"/>
        <v>4.7892720306513406E-3</v>
      </c>
      <c r="H7">
        <f t="shared" si="2"/>
        <v>208.79999999999998</v>
      </c>
    </row>
    <row r="8" spans="1:8" x14ac:dyDescent="0.25">
      <c r="A8">
        <v>70</v>
      </c>
      <c r="B8" s="11">
        <v>211.9</v>
      </c>
      <c r="C8">
        <v>0.5</v>
      </c>
      <c r="D8">
        <f t="shared" si="0"/>
        <v>2.3596035865974517E-3</v>
      </c>
      <c r="E8">
        <f>273.15+A8</f>
        <v>343.15</v>
      </c>
      <c r="F8">
        <f>B8*B8</f>
        <v>44901.61</v>
      </c>
      <c r="G8">
        <f t="shared" si="1"/>
        <v>4.7192071731949033E-3</v>
      </c>
      <c r="H8">
        <f t="shared" si="2"/>
        <v>211.9</v>
      </c>
    </row>
    <row r="9" spans="1:8" x14ac:dyDescent="0.25">
      <c r="B9" s="11"/>
    </row>
    <row r="10" spans="1:8" x14ac:dyDescent="0.25">
      <c r="B10" s="11"/>
    </row>
    <row r="11" spans="1:8" x14ac:dyDescent="0.25">
      <c r="B11" s="11"/>
    </row>
    <row r="21" spans="1:3" x14ac:dyDescent="0.25">
      <c r="A21" t="s">
        <v>10</v>
      </c>
      <c r="B21" t="s">
        <v>9</v>
      </c>
    </row>
    <row r="22" spans="1:3" x14ac:dyDescent="0.25">
      <c r="A22">
        <v>15888.58743</v>
      </c>
      <c r="B22">
        <v>42.210030000000003</v>
      </c>
      <c r="C22">
        <v>1.26118</v>
      </c>
    </row>
    <row r="34" spans="5:6" x14ac:dyDescent="0.25">
      <c r="E34" s="12"/>
      <c r="F34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workbookViewId="0">
      <selection activeCell="B26" sqref="B26"/>
    </sheetView>
  </sheetViews>
  <sheetFormatPr defaultRowHeight="15" x14ac:dyDescent="0.25"/>
  <cols>
    <col min="5" max="5" width="24.5703125" customWidth="1"/>
    <col min="6" max="6" width="12" bestFit="1" customWidth="1"/>
    <col min="12" max="13" width="12" bestFit="1" customWidth="1"/>
  </cols>
  <sheetData>
    <row r="1" spans="1:13" x14ac:dyDescent="0.25">
      <c r="A1" s="7" t="s">
        <v>0</v>
      </c>
      <c r="B1" s="7" t="s">
        <v>1</v>
      </c>
      <c r="C1" s="7" t="s">
        <v>2</v>
      </c>
      <c r="D1" s="7" t="s">
        <v>3</v>
      </c>
      <c r="E1" s="10" t="s">
        <v>5</v>
      </c>
      <c r="F1" s="10"/>
    </row>
    <row r="2" spans="1:13" x14ac:dyDescent="0.25">
      <c r="A2" s="8">
        <v>13.15</v>
      </c>
      <c r="B2" s="9">
        <v>131.6</v>
      </c>
      <c r="C2" s="9">
        <v>5.0999999999999996</v>
      </c>
      <c r="D2" s="9">
        <f>B2/C2</f>
        <v>25.803921568627452</v>
      </c>
      <c r="E2" s="1">
        <f>1/(B2*B2)</f>
        <v>5.7741521235021855E-5</v>
      </c>
      <c r="F2">
        <f>(0.3/B2)*2*E2</f>
        <v>2.632592153572425E-7</v>
      </c>
      <c r="H2">
        <v>5.7741521235021855E-5</v>
      </c>
      <c r="I2">
        <v>2.632592153572425E-7</v>
      </c>
      <c r="K2">
        <f>B2*B2</f>
        <v>17318.559999999998</v>
      </c>
      <c r="L2">
        <f>1/K2</f>
        <v>5.7741521235021855E-5</v>
      </c>
      <c r="M2">
        <f>0.5/B2*2*L2</f>
        <v>4.3876535892873753E-7</v>
      </c>
    </row>
    <row r="3" spans="1:13" x14ac:dyDescent="0.25">
      <c r="A3" s="8">
        <v>20.2</v>
      </c>
      <c r="B3" s="9">
        <v>123.2</v>
      </c>
      <c r="C3" s="9">
        <v>5.9</v>
      </c>
      <c r="D3" s="9">
        <f t="shared" ref="D3:D8" si="0">B3/C3</f>
        <v>20.881355932203387</v>
      </c>
      <c r="E3" s="1">
        <f t="shared" ref="E3:E16" si="1">1/(B3*B3)</f>
        <v>6.5883791533142178E-5</v>
      </c>
      <c r="F3">
        <f t="shared" ref="F3:F16" si="2">(0.3/B3)*2*E3</f>
        <v>3.2086262110296512E-7</v>
      </c>
      <c r="H3">
        <v>6.5883791533142178E-5</v>
      </c>
      <c r="I3">
        <v>3.2086262110296512E-7</v>
      </c>
      <c r="K3">
        <f t="shared" ref="K3:K8" si="3">B3*B3</f>
        <v>15178.240000000002</v>
      </c>
      <c r="L3">
        <f t="shared" ref="L3:L8" si="4">1/K3</f>
        <v>6.5883791533142178E-5</v>
      </c>
    </row>
    <row r="4" spans="1:13" x14ac:dyDescent="0.25">
      <c r="A4" s="8">
        <v>30.15</v>
      </c>
      <c r="B4" s="9">
        <v>116.8</v>
      </c>
      <c r="C4" s="9">
        <v>5.2</v>
      </c>
      <c r="D4" s="9">
        <f t="shared" si="0"/>
        <v>22.46153846153846</v>
      </c>
      <c r="E4" s="1">
        <f t="shared" si="1"/>
        <v>7.3301745167948961E-5</v>
      </c>
      <c r="F4">
        <f t="shared" si="2"/>
        <v>3.7655006079425832E-7</v>
      </c>
      <c r="H4">
        <v>7.3301745167948961E-5</v>
      </c>
      <c r="I4">
        <v>3.7655006079425832E-7</v>
      </c>
      <c r="K4">
        <f t="shared" si="3"/>
        <v>13642.24</v>
      </c>
      <c r="L4">
        <f t="shared" si="4"/>
        <v>7.3301745167948961E-5</v>
      </c>
    </row>
    <row r="5" spans="1:13" x14ac:dyDescent="0.25">
      <c r="A5" s="8">
        <v>40.4</v>
      </c>
      <c r="B5" s="9">
        <v>108</v>
      </c>
      <c r="C5" s="9">
        <v>5.4</v>
      </c>
      <c r="D5" s="9">
        <f t="shared" si="0"/>
        <v>20</v>
      </c>
      <c r="E5" s="1">
        <f t="shared" si="1"/>
        <v>8.573388203017832E-5</v>
      </c>
      <c r="F5">
        <f t="shared" si="2"/>
        <v>4.7629934461210179E-7</v>
      </c>
      <c r="H5">
        <v>8.573388203017832E-5</v>
      </c>
      <c r="I5">
        <v>4.7629934461210179E-7</v>
      </c>
      <c r="K5">
        <f t="shared" si="3"/>
        <v>11664</v>
      </c>
      <c r="L5">
        <f t="shared" si="4"/>
        <v>8.573388203017832E-5</v>
      </c>
    </row>
    <row r="6" spans="1:13" x14ac:dyDescent="0.25">
      <c r="A6" s="8">
        <v>50.25</v>
      </c>
      <c r="B6" s="9">
        <v>102.7</v>
      </c>
      <c r="C6" s="9">
        <v>5.2</v>
      </c>
      <c r="D6" s="9">
        <f t="shared" si="0"/>
        <v>19.75</v>
      </c>
      <c r="E6" s="1">
        <f t="shared" si="1"/>
        <v>9.4811084174228633E-5</v>
      </c>
      <c r="F6">
        <f t="shared" si="2"/>
        <v>5.5391091046287416E-7</v>
      </c>
      <c r="H6">
        <v>9.4811084174228633E-5</v>
      </c>
      <c r="I6">
        <v>5.5391091046287416E-7</v>
      </c>
      <c r="K6">
        <f t="shared" si="3"/>
        <v>10547.29</v>
      </c>
      <c r="L6">
        <f t="shared" si="4"/>
        <v>9.4811084174228633E-5</v>
      </c>
    </row>
    <row r="7" spans="1:13" x14ac:dyDescent="0.25">
      <c r="A7" s="8">
        <v>60.75</v>
      </c>
      <c r="B7" s="9">
        <v>96.2</v>
      </c>
      <c r="C7" s="9">
        <v>5.2</v>
      </c>
      <c r="D7" s="9">
        <f t="shared" si="0"/>
        <v>18.5</v>
      </c>
      <c r="E7" s="1">
        <f t="shared" si="1"/>
        <v>1.0805624111237416E-4</v>
      </c>
      <c r="F7">
        <f t="shared" si="2"/>
        <v>6.7394744976532739E-7</v>
      </c>
      <c r="H7">
        <v>1.0805624111237416E-4</v>
      </c>
      <c r="I7">
        <v>6.7394744976532739E-7</v>
      </c>
      <c r="K7">
        <f t="shared" si="3"/>
        <v>9254.44</v>
      </c>
      <c r="L7">
        <f t="shared" si="4"/>
        <v>1.0805624111237416E-4</v>
      </c>
    </row>
    <row r="8" spans="1:13" x14ac:dyDescent="0.25">
      <c r="A8" s="8">
        <v>70</v>
      </c>
      <c r="B8" s="9">
        <v>92.1</v>
      </c>
      <c r="C8" s="9">
        <v>4.7</v>
      </c>
      <c r="D8" s="9">
        <f t="shared" si="0"/>
        <v>19.595744680851062</v>
      </c>
      <c r="E8" s="1">
        <f t="shared" si="1"/>
        <v>1.1789102389533164E-4</v>
      </c>
      <c r="F8">
        <f t="shared" si="2"/>
        <v>7.6801969964385429E-7</v>
      </c>
      <c r="H8">
        <v>1.1789102389533164E-4</v>
      </c>
      <c r="I8">
        <v>7.6801969964385429E-7</v>
      </c>
      <c r="K8">
        <f t="shared" si="3"/>
        <v>8482.41</v>
      </c>
      <c r="L8">
        <f t="shared" si="4"/>
        <v>1.1789102389533164E-4</v>
      </c>
    </row>
    <row r="9" spans="1:13" x14ac:dyDescent="0.25">
      <c r="E9" s="1"/>
    </row>
    <row r="10" spans="1:13" x14ac:dyDescent="0.25">
      <c r="E10" s="1"/>
    </row>
    <row r="11" spans="1:13" x14ac:dyDescent="0.25">
      <c r="A11" s="8">
        <v>13.15</v>
      </c>
      <c r="B11" s="11">
        <v>132.4</v>
      </c>
      <c r="E11" s="1">
        <f t="shared" si="1"/>
        <v>5.7045846606000304E-5</v>
      </c>
      <c r="F11">
        <f t="shared" si="2"/>
        <v>2.5851592117522792E-7</v>
      </c>
    </row>
    <row r="12" spans="1:13" x14ac:dyDescent="0.25">
      <c r="A12" s="8">
        <v>20.2</v>
      </c>
      <c r="B12" s="11">
        <v>124.6</v>
      </c>
      <c r="E12" s="1">
        <f t="shared" si="1"/>
        <v>6.4411574502291772E-5</v>
      </c>
      <c r="F12">
        <f t="shared" si="2"/>
        <v>3.1016809551665378E-7</v>
      </c>
    </row>
    <row r="13" spans="1:13" x14ac:dyDescent="0.25">
      <c r="A13" s="8">
        <v>30.15</v>
      </c>
      <c r="B13" s="11">
        <v>115.4</v>
      </c>
      <c r="E13" s="1">
        <f t="shared" si="1"/>
        <v>7.5091085486695349E-5</v>
      </c>
      <c r="F13">
        <f t="shared" si="2"/>
        <v>3.904215883190399E-7</v>
      </c>
    </row>
    <row r="14" spans="1:13" x14ac:dyDescent="0.25">
      <c r="A14" s="8">
        <v>40.4</v>
      </c>
      <c r="B14" s="11">
        <v>107.6</v>
      </c>
      <c r="E14" s="1">
        <f t="shared" si="1"/>
        <v>8.6372493470239503E-5</v>
      </c>
      <c r="F14">
        <f t="shared" si="2"/>
        <v>4.816310044808894E-7</v>
      </c>
    </row>
    <row r="15" spans="1:13" x14ac:dyDescent="0.25">
      <c r="A15" s="8">
        <v>50.25</v>
      </c>
      <c r="B15" s="11">
        <v>102.4</v>
      </c>
      <c r="E15" s="1">
        <f t="shared" si="1"/>
        <v>9.5367431640624986E-5</v>
      </c>
      <c r="F15">
        <f t="shared" si="2"/>
        <v>5.587935447692869E-7</v>
      </c>
    </row>
    <row r="16" spans="1:13" x14ac:dyDescent="0.25">
      <c r="A16" s="8">
        <v>60.75</v>
      </c>
      <c r="B16" s="11">
        <v>97.3</v>
      </c>
      <c r="E16" s="1">
        <f t="shared" si="1"/>
        <v>1.0562684780966889E-4</v>
      </c>
      <c r="F16">
        <f t="shared" si="2"/>
        <v>6.5134746850772176E-7</v>
      </c>
    </row>
    <row r="17" spans="1:6" x14ac:dyDescent="0.25">
      <c r="A17" s="8">
        <v>70</v>
      </c>
    </row>
    <row r="20" spans="1:6" x14ac:dyDescent="0.25">
      <c r="A20" s="8"/>
    </row>
    <row r="21" spans="1:6" x14ac:dyDescent="0.25">
      <c r="A21" s="8"/>
    </row>
    <row r="22" spans="1:6" x14ac:dyDescent="0.25">
      <c r="A22" s="8">
        <v>30.15</v>
      </c>
      <c r="B22">
        <v>198.7</v>
      </c>
      <c r="E22" s="1">
        <f>1/(B22*B22)</f>
        <v>2.5328196437386548E-5</v>
      </c>
      <c r="F22">
        <f t="shared" ref="F22:F26" si="5">(0.3/B22)*2*E22</f>
        <v>7.6481720495379609E-8</v>
      </c>
    </row>
    <row r="23" spans="1:6" x14ac:dyDescent="0.25">
      <c r="A23" s="8">
        <v>40.4</v>
      </c>
      <c r="B23">
        <v>183.3</v>
      </c>
      <c r="E23" s="1">
        <f t="shared" ref="E23:E26" si="6">1/(B23*B23)</f>
        <v>2.9762888000169047E-5</v>
      </c>
      <c r="F23">
        <f t="shared" si="5"/>
        <v>9.7423528642124528E-8</v>
      </c>
    </row>
    <row r="24" spans="1:6" x14ac:dyDescent="0.25">
      <c r="A24" s="8">
        <v>50.25</v>
      </c>
      <c r="B24">
        <v>168.4</v>
      </c>
      <c r="E24" s="1">
        <f t="shared" si="6"/>
        <v>3.5262721379364815E-5</v>
      </c>
      <c r="F24">
        <f t="shared" si="5"/>
        <v>1.2563914980771311E-7</v>
      </c>
    </row>
    <row r="25" spans="1:6" x14ac:dyDescent="0.25">
      <c r="A25" s="8">
        <v>60.75</v>
      </c>
      <c r="B25">
        <v>157.6</v>
      </c>
      <c r="E25" s="1">
        <f t="shared" si="6"/>
        <v>4.0261279600092766E-5</v>
      </c>
      <c r="F25">
        <f t="shared" si="5"/>
        <v>1.5327898324908414E-7</v>
      </c>
    </row>
    <row r="26" spans="1:6" x14ac:dyDescent="0.25">
      <c r="A26" s="8">
        <v>70</v>
      </c>
      <c r="B26">
        <v>148.30000000000001</v>
      </c>
      <c r="E26" s="1">
        <f t="shared" si="6"/>
        <v>4.5469240286292519E-5</v>
      </c>
      <c r="F26">
        <f t="shared" si="5"/>
        <v>1.8396186225067773E-7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E61EB-E579-4FD3-A110-4FA9DC715264}">
  <dimension ref="A1:F34"/>
  <sheetViews>
    <sheetView tabSelected="1" workbookViewId="0">
      <selection activeCell="A14" sqref="A14"/>
    </sheetView>
  </sheetViews>
  <sheetFormatPr defaultRowHeight="15" x14ac:dyDescent="0.25"/>
  <sheetData>
    <row r="1" spans="1:6" x14ac:dyDescent="0.25">
      <c r="A1" t="s">
        <v>6</v>
      </c>
      <c r="B1" t="s">
        <v>1</v>
      </c>
      <c r="C1" t="s">
        <v>2</v>
      </c>
      <c r="D1" t="s">
        <v>7</v>
      </c>
      <c r="E1" t="s">
        <v>8</v>
      </c>
    </row>
    <row r="2" spans="1:6" x14ac:dyDescent="0.25">
      <c r="A2">
        <v>3</v>
      </c>
      <c r="B2" s="11">
        <v>127</v>
      </c>
      <c r="D2">
        <f t="shared" ref="D2:D10" si="0">273.15+A2</f>
        <v>276.14999999999998</v>
      </c>
      <c r="E2">
        <f>B2*B2</f>
        <v>16129</v>
      </c>
      <c r="F2">
        <f>0.5/B2*2*E2</f>
        <v>127</v>
      </c>
    </row>
    <row r="3" spans="1:6" x14ac:dyDescent="0.25">
      <c r="A3">
        <v>15</v>
      </c>
      <c r="B3" s="11">
        <v>128.5</v>
      </c>
      <c r="C3">
        <f>-124.5+131.9</f>
        <v>7.4000000000000057</v>
      </c>
      <c r="D3">
        <f t="shared" si="0"/>
        <v>288.14999999999998</v>
      </c>
      <c r="E3">
        <f t="shared" ref="E3:E10" si="1">B3*B3</f>
        <v>16512.25</v>
      </c>
      <c r="F3">
        <f t="shared" ref="F3:F10" si="2">0.5/B3*2*E3</f>
        <v>128.5</v>
      </c>
    </row>
    <row r="4" spans="1:6" x14ac:dyDescent="0.25">
      <c r="A4">
        <v>25</v>
      </c>
      <c r="B4" s="11">
        <v>130</v>
      </c>
      <c r="D4">
        <f t="shared" si="0"/>
        <v>298.14999999999998</v>
      </c>
      <c r="E4">
        <f t="shared" si="1"/>
        <v>16900</v>
      </c>
      <c r="F4">
        <f t="shared" si="2"/>
        <v>130</v>
      </c>
    </row>
    <row r="5" spans="1:6" x14ac:dyDescent="0.25">
      <c r="A5">
        <v>35</v>
      </c>
      <c r="B5" s="11">
        <v>131.4</v>
      </c>
      <c r="D5">
        <f t="shared" si="0"/>
        <v>308.14999999999998</v>
      </c>
      <c r="E5">
        <f t="shared" si="1"/>
        <v>17265.960000000003</v>
      </c>
      <c r="F5">
        <f t="shared" si="2"/>
        <v>131.4</v>
      </c>
    </row>
    <row r="6" spans="1:6" x14ac:dyDescent="0.25">
      <c r="A6">
        <v>45</v>
      </c>
      <c r="B6" s="11">
        <v>133.5</v>
      </c>
      <c r="D6">
        <f t="shared" si="0"/>
        <v>318.14999999999998</v>
      </c>
      <c r="E6">
        <f t="shared" si="1"/>
        <v>17822.25</v>
      </c>
      <c r="F6">
        <f t="shared" si="2"/>
        <v>133.5</v>
      </c>
    </row>
    <row r="7" spans="1:6" x14ac:dyDescent="0.25">
      <c r="A7">
        <v>55</v>
      </c>
      <c r="B7" s="11">
        <v>134.4</v>
      </c>
      <c r="D7">
        <f t="shared" si="0"/>
        <v>328.15</v>
      </c>
      <c r="E7">
        <f t="shared" si="1"/>
        <v>18063.36</v>
      </c>
      <c r="F7">
        <f t="shared" si="2"/>
        <v>134.4</v>
      </c>
    </row>
    <row r="8" spans="1:6" x14ac:dyDescent="0.25">
      <c r="A8">
        <v>65</v>
      </c>
      <c r="B8" s="11">
        <v>136.5</v>
      </c>
      <c r="D8">
        <f t="shared" si="0"/>
        <v>338.15</v>
      </c>
      <c r="E8">
        <f t="shared" si="1"/>
        <v>18632.25</v>
      </c>
      <c r="F8">
        <f t="shared" si="2"/>
        <v>136.5</v>
      </c>
    </row>
    <row r="9" spans="1:6" x14ac:dyDescent="0.25">
      <c r="A9">
        <v>75</v>
      </c>
      <c r="B9" s="11">
        <v>138.5</v>
      </c>
      <c r="D9">
        <f t="shared" si="0"/>
        <v>348.15</v>
      </c>
      <c r="E9">
        <f t="shared" si="1"/>
        <v>19182.25</v>
      </c>
      <c r="F9">
        <f t="shared" si="2"/>
        <v>138.5</v>
      </c>
    </row>
    <row r="10" spans="1:6" x14ac:dyDescent="0.25">
      <c r="A10">
        <v>80</v>
      </c>
      <c r="B10" s="11">
        <v>138.9</v>
      </c>
      <c r="D10">
        <f t="shared" si="0"/>
        <v>353.15</v>
      </c>
      <c r="E10">
        <f t="shared" si="1"/>
        <v>19293.210000000003</v>
      </c>
      <c r="F10">
        <f t="shared" si="2"/>
        <v>138.9</v>
      </c>
    </row>
    <row r="11" spans="1:6" x14ac:dyDescent="0.25">
      <c r="B11" s="11"/>
    </row>
    <row r="21" spans="1:3" x14ac:dyDescent="0.25">
      <c r="A21" t="s">
        <v>10</v>
      </c>
      <c r="B21" t="s">
        <v>9</v>
      </c>
    </row>
    <row r="22" spans="1:3" x14ac:dyDescent="0.25">
      <c r="A22">
        <v>15888.58743</v>
      </c>
      <c r="B22">
        <v>42.210030000000003</v>
      </c>
      <c r="C22">
        <v>1.26118</v>
      </c>
    </row>
    <row r="34" spans="4:5" x14ac:dyDescent="0.25">
      <c r="D34" s="12"/>
      <c r="E34" s="1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4B284-BC01-4B89-A236-E8B279AE980E}">
  <dimension ref="A1:M13"/>
  <sheetViews>
    <sheetView workbookViewId="0">
      <selection activeCell="D7" sqref="D7:M8"/>
    </sheetView>
  </sheetViews>
  <sheetFormatPr defaultRowHeight="15" x14ac:dyDescent="0.25"/>
  <sheetData>
    <row r="1" spans="1:13" x14ac:dyDescent="0.25">
      <c r="A1">
        <v>2.5499999999999998</v>
      </c>
    </row>
    <row r="2" spans="1:13" x14ac:dyDescent="0.25">
      <c r="A2">
        <v>2.5</v>
      </c>
      <c r="D2" s="2" t="s">
        <v>4</v>
      </c>
      <c r="E2" s="3">
        <v>1</v>
      </c>
      <c r="F2" s="3">
        <v>2</v>
      </c>
      <c r="G2" s="3">
        <v>3</v>
      </c>
      <c r="H2" s="3">
        <v>4</v>
      </c>
      <c r="I2" s="3">
        <v>5</v>
      </c>
      <c r="J2" s="3">
        <v>6</v>
      </c>
      <c r="K2" s="4">
        <v>7</v>
      </c>
    </row>
    <row r="3" spans="1:13" x14ac:dyDescent="0.25">
      <c r="A3">
        <v>1.74</v>
      </c>
      <c r="B3">
        <f>AVEDEV(A1:A13)</f>
        <v>0.27337278106508872</v>
      </c>
      <c r="D3" s="2" t="s">
        <v>0</v>
      </c>
      <c r="E3" s="5">
        <v>13.15</v>
      </c>
      <c r="F3" s="5">
        <v>20.2</v>
      </c>
      <c r="G3" s="5">
        <v>30.15</v>
      </c>
      <c r="H3" s="5">
        <v>40.4</v>
      </c>
      <c r="I3" s="5">
        <v>50.25</v>
      </c>
      <c r="J3" s="5">
        <v>60.75</v>
      </c>
      <c r="K3" s="6">
        <v>70</v>
      </c>
    </row>
    <row r="4" spans="1:13" x14ac:dyDescent="0.25">
      <c r="A4">
        <v>1.82</v>
      </c>
    </row>
    <row r="5" spans="1:13" x14ac:dyDescent="0.25">
      <c r="A5">
        <v>1.83</v>
      </c>
    </row>
    <row r="6" spans="1:13" x14ac:dyDescent="0.25">
      <c r="A6">
        <v>2.17</v>
      </c>
    </row>
    <row r="7" spans="1:13" x14ac:dyDescent="0.25">
      <c r="A7">
        <v>1.98</v>
      </c>
      <c r="D7" s="7" t="s">
        <v>6</v>
      </c>
      <c r="E7" s="3">
        <v>3</v>
      </c>
      <c r="F7" s="3">
        <v>15</v>
      </c>
      <c r="G7" s="3">
        <v>25</v>
      </c>
      <c r="H7" s="3">
        <v>35</v>
      </c>
      <c r="I7" s="3">
        <v>45</v>
      </c>
      <c r="J7" s="3">
        <v>55</v>
      </c>
      <c r="K7" s="3">
        <v>65</v>
      </c>
      <c r="L7" s="3">
        <v>75</v>
      </c>
      <c r="M7" s="4">
        <v>80</v>
      </c>
    </row>
    <row r="8" spans="1:13" x14ac:dyDescent="0.25">
      <c r="A8">
        <v>2.38</v>
      </c>
      <c r="D8" s="15" t="s">
        <v>1</v>
      </c>
      <c r="E8" s="13">
        <v>127</v>
      </c>
      <c r="F8" s="13">
        <v>128.5</v>
      </c>
      <c r="G8" s="13">
        <v>130</v>
      </c>
      <c r="H8" s="13">
        <v>131.4</v>
      </c>
      <c r="I8" s="13">
        <v>133.5</v>
      </c>
      <c r="J8" s="13">
        <v>134.4</v>
      </c>
      <c r="K8" s="13">
        <v>136.5</v>
      </c>
      <c r="L8" s="13">
        <v>138.5</v>
      </c>
      <c r="M8" s="14">
        <v>138.9</v>
      </c>
    </row>
    <row r="9" spans="1:13" x14ac:dyDescent="0.25">
      <c r="A9">
        <v>2.73</v>
      </c>
    </row>
    <row r="10" spans="1:13" x14ac:dyDescent="0.25">
      <c r="A10">
        <v>2.6</v>
      </c>
    </row>
    <row r="11" spans="1:13" x14ac:dyDescent="0.25">
      <c r="A11">
        <v>2.2000000000000002</v>
      </c>
    </row>
    <row r="12" spans="1:13" x14ac:dyDescent="0.25">
      <c r="A12">
        <v>1.98</v>
      </c>
    </row>
    <row r="13" spans="1:13" x14ac:dyDescent="0.25">
      <c r="A13">
        <v>2.2999999999999998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Температурная зависимость (3)</vt:lpstr>
      <vt:lpstr>Температурная зависимость (2)</vt:lpstr>
      <vt:lpstr>Метод ДШ</vt:lpstr>
      <vt:lpstr>Температурная зависимость</vt:lpstr>
      <vt:lpstr>Черновик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Рудачихин Павел</dc:creator>
  <cp:lastModifiedBy>Павел Рудачихин</cp:lastModifiedBy>
  <dcterms:created xsi:type="dcterms:W3CDTF">2015-06-05T18:19:34Z</dcterms:created>
  <dcterms:modified xsi:type="dcterms:W3CDTF">2026-06-16T21:42:27Z</dcterms:modified>
</cp:coreProperties>
</file>