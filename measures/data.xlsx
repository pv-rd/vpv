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repo\vpv\measures\"/>
    </mc:Choice>
  </mc:AlternateContent>
  <xr:revisionPtr revIDLastSave="0" documentId="13_ncr:1_{ED5753B3-3AF7-4EEA-AF76-166FC2ABE4B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Метод ДШ" sheetId="1" r:id="rId1"/>
    <sheet name="Температурная зависимость" sheetId="3" r:id="rId2"/>
    <sheet name="Черновик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F9" i="3"/>
  <c r="E9" i="3"/>
  <c r="F5" i="3"/>
  <c r="E5" i="3"/>
  <c r="F8" i="3"/>
  <c r="E8" i="3"/>
  <c r="F6" i="3"/>
  <c r="F7" i="3"/>
  <c r="E6" i="3"/>
  <c r="E7" i="3"/>
  <c r="F3" i="3"/>
  <c r="F4" i="3"/>
  <c r="F2" i="3"/>
  <c r="E3" i="3"/>
  <c r="E4" i="3"/>
  <c r="E2" i="3"/>
  <c r="D3" i="3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B3" i="2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<sst xmlns="http://schemas.openxmlformats.org/spreadsheetml/2006/main" count="13" uniqueCount="10">
  <si>
    <t>L, мм</t>
  </si>
  <si>
    <t>f, Гц</t>
  </si>
  <si>
    <t>df, Гц</t>
  </si>
  <si>
    <t>Q</t>
  </si>
  <si>
    <t>№</t>
  </si>
  <si>
    <t>f**-2</t>
  </si>
  <si>
    <t>t, C</t>
  </si>
  <si>
    <t>dt</t>
  </si>
  <si>
    <t>T, К</t>
  </si>
  <si>
    <t>f*f, Гц*Гц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</si>
</sst>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165" fontId="0" fillId="0" borderId="1" xfId="0" applyNumberFormat="1" applyBorder="1"/>
    <xf numFmtId="0" fontId="0" fillId="0" borderId="4" xfId="0" applyBorder="1" applyAlignment="1">
      <alignment horizontal="right"/>
    </xf>
    <xf numFmtId="165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'Температурная зависимость'!$F$1</c:f>
              <c:strCache>
                <c:ptCount val="1"/>
                <c:pt idx="0">
                  <c:v>f*f, Гц*Гц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'Температурная зависимость'!$E$2:$E$27</c:f>
              <c:numCache>
                <c:formatCode>General</c:formatCode>
                <c:ptCount val="26"/>
                <c:pt idx="0">
                  <c:v>276.14999999999998</c:v>
                </c:pt>
                <c:pt idx="1">
                  <c:v>288.14999999999998</c:v>
                </c:pt>
                <c:pt idx="2">
                  <c:v>299.14999999999998</c:v>
                </c:pt>
                <c:pt idx="3">
                  <c:v>308.14999999999998</c:v>
                </c:pt>
                <c:pt idx="4">
                  <c:v>318.14999999999998</c:v>
                </c:pt>
                <c:pt idx="5">
                  <c:v>328.15</c:v>
                </c:pt>
                <c:pt idx="6">
                  <c:v>338.15</c:v>
                </c:pt>
                <c:pt idx="7">
                  <c:v>348.15</c:v>
                </c:pt>
                <c:pt idx="8">
                  <c:v>353.15</c:v>
                </c:pt>
              </c:numCache>
            </c:numRef>
          </c:xVal>
          <c:yVal>
            <c:numRef>
              <c:f>'Температурная зависимость'!$F$2:$F$27</c:f>
              <c:numCache>
                <c:formatCode>General</c:formatCode>
                <c:ptCount val="26"/>
                <c:pt idx="0">
                  <c:v>16129</c:v>
                </c:pt>
                <c:pt idx="1">
                  <c:v>16512.25</c:v>
                </c:pt>
                <c:pt idx="2">
                  <c:v>17318.559999999998</c:v>
                </c:pt>
                <c:pt idx="3">
                  <c:v>17424</c:v>
                </c:pt>
                <c:pt idx="4">
                  <c:v>17822.25</c:v>
                </c:pt>
                <c:pt idx="5">
                  <c:v>18063.36</c:v>
                </c:pt>
                <c:pt idx="6">
                  <c:v>18632.25</c:v>
                </c:pt>
                <c:pt idx="7">
                  <c:v>19182.25</c:v>
                </c:pt>
                <c:pt idx="8">
                  <c:v>19293.210000000003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7-4496-8AA1-0CE6486E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0344"/>
        <c:axId val="614653944"/>
      </c:scatterChart>
      <c:valAx>
        <c:axId val="614650344"/>
        <c:scaling>
          <c:orientation val="minMax"/>
          <c:min val="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3944"/>
        <c:crosses val="autoZero"/>
        <c:crossBetween val="midCat"/>
      </c:valAx>
      <c:valAx>
        <c:axId val="61465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0</xdr:row>
      <xdr:rowOff>185737</xdr:rowOff>
    </xdr:from>
    <xdr:to>
      <xdr:col>17</xdr:col>
      <xdr:colOff>485774</xdr:colOff>
      <xdr:row>24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CD6679-4BB9-EAAD-E38D-D5520853E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C11" sqref="C11"/>
    </sheetView>
  </sheetViews>
  <sheetFormatPr defaultRowHeight="15" x14ac:dyDescent="0.25"/>
  <cols>
    <col min="5" max="5" width="24.5703125" customWidth="1"/>
    <col min="6" max="6" width="12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5</v>
      </c>
      <c r="F1" s="10"/>
    </row>
    <row r="2" spans="1:9" x14ac:dyDescent="0.25">
      <c r="A2" s="8">
        <v>13.15</v>
      </c>
      <c r="B2" s="9">
        <v>131.6</v>
      </c>
      <c r="C2" s="9">
        <v>5.0999999999999996</v>
      </c>
      <c r="D2" s="9">
        <f>B2/C2</f>
        <v>25.803921568627452</v>
      </c>
      <c r="E2" s="1">
        <f>1/(B2*B2)</f>
        <v>5.7741521235021855E-5</v>
      </c>
      <c r="F2">
        <f>(0.3/B2)*2*E2</f>
        <v>2.632592153572425E-7</v>
      </c>
      <c r="H2">
        <v>5.7741521235021855E-5</v>
      </c>
      <c r="I2">
        <v>2.632592153572425E-7</v>
      </c>
    </row>
    <row r="3" spans="1:9" x14ac:dyDescent="0.25">
      <c r="A3" s="8">
        <v>20.2</v>
      </c>
      <c r="B3" s="9">
        <v>123.2</v>
      </c>
      <c r="C3" s="9">
        <v>5.9</v>
      </c>
      <c r="D3" s="9">
        <f t="shared" ref="D3:D8" si="0">B3/C3</f>
        <v>20.881355932203387</v>
      </c>
      <c r="E3" s="1">
        <f t="shared" ref="E3:E8" si="1">1/(B3*B3)</f>
        <v>6.5883791533142178E-5</v>
      </c>
      <c r="F3">
        <f t="shared" ref="F3:F8" si="2">(0.3/B3)*2*E3</f>
        <v>3.2086262110296512E-7</v>
      </c>
      <c r="H3">
        <v>6.5883791533142178E-5</v>
      </c>
      <c r="I3">
        <v>3.2086262110296512E-7</v>
      </c>
    </row>
    <row r="4" spans="1:9" x14ac:dyDescent="0.25">
      <c r="A4" s="8">
        <v>30.15</v>
      </c>
      <c r="B4" s="9">
        <v>116.8</v>
      </c>
      <c r="C4" s="9">
        <v>5.2</v>
      </c>
      <c r="D4" s="9">
        <f t="shared" si="0"/>
        <v>22.46153846153846</v>
      </c>
      <c r="E4" s="1">
        <f t="shared" si="1"/>
        <v>7.3301745167948961E-5</v>
      </c>
      <c r="F4">
        <f t="shared" si="2"/>
        <v>3.7655006079425832E-7</v>
      </c>
      <c r="H4">
        <v>7.3301745167948961E-5</v>
      </c>
      <c r="I4">
        <v>3.7655006079425832E-7</v>
      </c>
    </row>
    <row r="5" spans="1:9" x14ac:dyDescent="0.25">
      <c r="A5" s="8">
        <v>40.4</v>
      </c>
      <c r="B5" s="9">
        <v>108</v>
      </c>
      <c r="C5" s="9">
        <v>5.4</v>
      </c>
      <c r="D5" s="9">
        <f t="shared" si="0"/>
        <v>20</v>
      </c>
      <c r="E5" s="1">
        <f t="shared" si="1"/>
        <v>8.573388203017832E-5</v>
      </c>
      <c r="F5">
        <f t="shared" si="2"/>
        <v>4.7629934461210179E-7</v>
      </c>
      <c r="H5">
        <v>8.573388203017832E-5</v>
      </c>
      <c r="I5">
        <v>4.7629934461210179E-7</v>
      </c>
    </row>
    <row r="6" spans="1:9" x14ac:dyDescent="0.25">
      <c r="A6" s="8">
        <v>50.25</v>
      </c>
      <c r="B6" s="9">
        <v>102.7</v>
      </c>
      <c r="C6" s="9">
        <v>5.2</v>
      </c>
      <c r="D6" s="9">
        <f t="shared" si="0"/>
        <v>19.75</v>
      </c>
      <c r="E6" s="1">
        <f t="shared" si="1"/>
        <v>9.4811084174228633E-5</v>
      </c>
      <c r="F6">
        <f t="shared" si="2"/>
        <v>5.5391091046287416E-7</v>
      </c>
      <c r="H6">
        <v>9.4811084174228633E-5</v>
      </c>
      <c r="I6">
        <v>5.5391091046287416E-7</v>
      </c>
    </row>
    <row r="7" spans="1:9" x14ac:dyDescent="0.25">
      <c r="A7" s="8">
        <v>60.75</v>
      </c>
      <c r="B7" s="9">
        <v>96.2</v>
      </c>
      <c r="C7" s="9">
        <v>5.2</v>
      </c>
      <c r="D7" s="9">
        <f t="shared" si="0"/>
        <v>18.5</v>
      </c>
      <c r="E7" s="1">
        <f t="shared" si="1"/>
        <v>1.0805624111237416E-4</v>
      </c>
      <c r="F7">
        <f t="shared" si="2"/>
        <v>6.7394744976532739E-7</v>
      </c>
      <c r="H7">
        <v>1.0805624111237416E-4</v>
      </c>
      <c r="I7">
        <v>6.7394744976532739E-7</v>
      </c>
    </row>
    <row r="8" spans="1:9" x14ac:dyDescent="0.25">
      <c r="A8" s="8">
        <v>70</v>
      </c>
      <c r="B8" s="9">
        <v>92.1</v>
      </c>
      <c r="C8" s="9">
        <v>4.7</v>
      </c>
      <c r="D8" s="9">
        <f t="shared" si="0"/>
        <v>19.595744680851062</v>
      </c>
      <c r="E8" s="1">
        <f t="shared" si="1"/>
        <v>1.1789102389533164E-4</v>
      </c>
      <c r="F8">
        <f t="shared" si="2"/>
        <v>7.6801969964385429E-7</v>
      </c>
      <c r="H8">
        <v>1.1789102389533164E-4</v>
      </c>
      <c r="I8">
        <v>7.6801969964385429E-7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61EB-E579-4FD3-A110-4FA9DC715264}">
  <dimension ref="A1:F27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t="s">
        <v>6</v>
      </c>
      <c r="B1" t="s">
        <v>7</v>
      </c>
      <c r="C1" t="s">
        <v>1</v>
      </c>
      <c r="D1" t="s">
        <v>2</v>
      </c>
      <c r="E1" t="s">
        <v>8</v>
      </c>
      <c r="F1" t="s">
        <v>9</v>
      </c>
    </row>
    <row r="2" spans="1:6" x14ac:dyDescent="0.25">
      <c r="A2">
        <v>3</v>
      </c>
      <c r="B2">
        <v>0.5</v>
      </c>
      <c r="C2" s="11">
        <v>127</v>
      </c>
      <c r="E2">
        <f>273.15+A2</f>
        <v>276.14999999999998</v>
      </c>
      <c r="F2">
        <f>C2*C2</f>
        <v>16129</v>
      </c>
    </row>
    <row r="3" spans="1:6" x14ac:dyDescent="0.25">
      <c r="A3">
        <v>15</v>
      </c>
      <c r="B3">
        <v>0.5</v>
      </c>
      <c r="C3" s="11">
        <v>128.5</v>
      </c>
      <c r="D3">
        <f>-124.5+131.9</f>
        <v>7.4000000000000057</v>
      </c>
      <c r="E3">
        <f t="shared" ref="E3:E10" si="0">273.15+A3</f>
        <v>288.14999999999998</v>
      </c>
      <c r="F3">
        <f t="shared" ref="F3:F10" si="1">C3*C3</f>
        <v>16512.25</v>
      </c>
    </row>
    <row r="4" spans="1:6" x14ac:dyDescent="0.25">
      <c r="A4">
        <v>26</v>
      </c>
      <c r="B4">
        <v>0.5</v>
      </c>
      <c r="C4" s="11">
        <v>131.6</v>
      </c>
      <c r="E4">
        <f t="shared" si="0"/>
        <v>299.14999999999998</v>
      </c>
      <c r="F4">
        <f t="shared" si="1"/>
        <v>17318.559999999998</v>
      </c>
    </row>
    <row r="5" spans="1:6" x14ac:dyDescent="0.25">
      <c r="A5">
        <v>35</v>
      </c>
      <c r="C5" s="11">
        <v>132</v>
      </c>
      <c r="E5">
        <f t="shared" si="0"/>
        <v>308.14999999999998</v>
      </c>
      <c r="F5">
        <f t="shared" si="1"/>
        <v>17424</v>
      </c>
    </row>
    <row r="6" spans="1:6" x14ac:dyDescent="0.25">
      <c r="A6">
        <v>45</v>
      </c>
      <c r="C6" s="11">
        <v>133.5</v>
      </c>
      <c r="E6">
        <f t="shared" si="0"/>
        <v>318.14999999999998</v>
      </c>
      <c r="F6">
        <f t="shared" si="1"/>
        <v>17822.25</v>
      </c>
    </row>
    <row r="7" spans="1:6" x14ac:dyDescent="0.25">
      <c r="A7">
        <v>55</v>
      </c>
      <c r="C7" s="11">
        <v>134.4</v>
      </c>
      <c r="E7">
        <f t="shared" si="0"/>
        <v>328.15</v>
      </c>
      <c r="F7">
        <f t="shared" si="1"/>
        <v>18063.36</v>
      </c>
    </row>
    <row r="8" spans="1:6" x14ac:dyDescent="0.25">
      <c r="A8">
        <v>65</v>
      </c>
      <c r="C8" s="11">
        <v>136.5</v>
      </c>
      <c r="E8">
        <f t="shared" si="0"/>
        <v>338.15</v>
      </c>
      <c r="F8">
        <f t="shared" si="1"/>
        <v>18632.25</v>
      </c>
    </row>
    <row r="9" spans="1:6" x14ac:dyDescent="0.25">
      <c r="A9">
        <v>75</v>
      </c>
      <c r="C9" s="11">
        <v>138.5</v>
      </c>
      <c r="E9">
        <f t="shared" si="0"/>
        <v>348.15</v>
      </c>
      <c r="F9">
        <f t="shared" si="1"/>
        <v>19182.25</v>
      </c>
    </row>
    <row r="10" spans="1:6" x14ac:dyDescent="0.25">
      <c r="A10">
        <v>80</v>
      </c>
      <c r="C10" s="11">
        <v>138.9</v>
      </c>
      <c r="E10">
        <f t="shared" si="0"/>
        <v>353.15</v>
      </c>
      <c r="F10">
        <f t="shared" si="1"/>
        <v>19293.210000000003</v>
      </c>
    </row>
    <row r="11" spans="1:6" x14ac:dyDescent="0.25">
      <c r="C11" s="11"/>
    </row>
    <row r="27" spans="5:6" x14ac:dyDescent="0.25">
      <c r="E27" s="12"/>
      <c r="F27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B284-BC01-4B89-A236-E8B279AE980E}">
  <dimension ref="A1:K13"/>
  <sheetViews>
    <sheetView workbookViewId="0">
      <selection activeCell="D2" sqref="D2:K3"/>
    </sheetView>
  </sheetViews>
  <sheetFormatPr defaultRowHeight="15" x14ac:dyDescent="0.25"/>
  <sheetData>
    <row r="1" spans="1:11" x14ac:dyDescent="0.25">
      <c r="A1">
        <v>2.5499999999999998</v>
      </c>
    </row>
    <row r="2" spans="1:11" x14ac:dyDescent="0.25">
      <c r="A2">
        <v>2.5</v>
      </c>
      <c r="D2" s="2" t="s">
        <v>4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4">
        <v>7</v>
      </c>
    </row>
    <row r="3" spans="1:11" x14ac:dyDescent="0.25">
      <c r="A3">
        <v>1.74</v>
      </c>
      <c r="B3">
        <f>AVEDEV(A1:A13)</f>
        <v>0.27337278106508872</v>
      </c>
      <c r="D3" s="2" t="s">
        <v>0</v>
      </c>
      <c r="E3" s="5">
        <v>13.15</v>
      </c>
      <c r="F3" s="5">
        <v>20.2</v>
      </c>
      <c r="G3" s="5">
        <v>30.15</v>
      </c>
      <c r="H3" s="5">
        <v>40.4</v>
      </c>
      <c r="I3" s="5">
        <v>50.25</v>
      </c>
      <c r="J3" s="5">
        <v>60.75</v>
      </c>
      <c r="K3" s="6">
        <v>70</v>
      </c>
    </row>
    <row r="4" spans="1:11" x14ac:dyDescent="0.25">
      <c r="A4">
        <v>1.82</v>
      </c>
    </row>
    <row r="5" spans="1:11" x14ac:dyDescent="0.25">
      <c r="A5">
        <v>1.83</v>
      </c>
    </row>
    <row r="6" spans="1:11" x14ac:dyDescent="0.25">
      <c r="A6">
        <v>2.17</v>
      </c>
    </row>
    <row r="7" spans="1:11" x14ac:dyDescent="0.25">
      <c r="A7">
        <v>1.98</v>
      </c>
    </row>
    <row r="8" spans="1:11" x14ac:dyDescent="0.25">
      <c r="A8">
        <v>2.38</v>
      </c>
    </row>
    <row r="9" spans="1:11" x14ac:dyDescent="0.25">
      <c r="A9">
        <v>2.73</v>
      </c>
    </row>
    <row r="10" spans="1:11" x14ac:dyDescent="0.25">
      <c r="A10">
        <v>2.6</v>
      </c>
    </row>
    <row r="11" spans="1:11" x14ac:dyDescent="0.25">
      <c r="A11">
        <v>2.2000000000000002</v>
      </c>
    </row>
    <row r="12" spans="1:11" x14ac:dyDescent="0.25">
      <c r="A12">
        <v>1.98</v>
      </c>
    </row>
    <row r="13" spans="1:11" x14ac:dyDescent="0.25">
      <c r="A1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ДШ</vt:lpstr>
      <vt:lpstr>Температурная зависимость</vt:lpstr>
      <vt:lpstr>Черновик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2026-05-04T12:58:13Z</dcterms:modified>
</cp:coreProperties>
</file>