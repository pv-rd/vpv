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Павел Андреевич\Desktop\measure\"/>
    </mc:Choice>
  </mc:AlternateContent>
  <xr:revisionPtr revIDLastSave="0" documentId="13_ncr:1_{1AAF2520-4A6F-468A-B718-D8E45BF6ED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  <c r="E3" i="1"/>
  <c r="E4" i="1"/>
  <c r="E5" i="1"/>
  <c r="E6" i="1"/>
  <c r="E7" i="1"/>
  <c r="E8" i="1"/>
  <c r="E2" i="1"/>
  <c r="B3" i="2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<sst xmlns="http://schemas.openxmlformats.org/spreadsheetml/2006/main" count="7" uniqueCount="6">
  <si>
    <t>L, мм</t>
  </si>
  <si>
    <t>f, Гц</t>
  </si>
  <si>
    <t>df, Гц</t>
  </si>
  <si>
    <t>Q</t>
  </si>
  <si>
    <t>№</t>
  </si>
  <si>
    <t>f**-2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</si>
</sst>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000"/>
    <numFmt numFmtId="171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0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/>
    <xf numFmtId="171" fontId="0" fillId="0" borderId="1" xfId="0" applyNumberFormat="1" applyBorder="1"/>
    <xf numFmtId="0" fontId="0" fillId="0" borderId="4" xfId="0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2" sqref="E2:F8"/>
    </sheetView>
  </sheetViews>
  <sheetFormatPr defaultRowHeight="15" x14ac:dyDescent="0.25"/>
  <cols>
    <col min="5" max="5" width="24.5703125" customWidth="1"/>
    <col min="6" max="6" width="12" bestFit="1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10" t="s">
        <v>5</v>
      </c>
      <c r="F1" s="10"/>
    </row>
    <row r="2" spans="1:9" x14ac:dyDescent="0.25">
      <c r="A2" s="8">
        <v>13.15</v>
      </c>
      <c r="B2" s="9">
        <v>131.6</v>
      </c>
      <c r="C2" s="9">
        <v>5.0999999999999996</v>
      </c>
      <c r="D2" s="9">
        <f>B2/C2</f>
        <v>25.803921568627452</v>
      </c>
      <c r="E2" s="1">
        <f>1/(B2*B2)</f>
        <v>5.7741521235021855E-5</v>
      </c>
      <c r="F2">
        <f>(0.3/B2)*2*E2</f>
        <v>2.632592153572425E-7</v>
      </c>
      <c r="H2">
        <v>5.7741521235021855E-5</v>
      </c>
      <c r="I2">
        <v>2.632592153572425E-7</v>
      </c>
    </row>
    <row r="3" spans="1:9" x14ac:dyDescent="0.25">
      <c r="A3" s="8">
        <v>20.2</v>
      </c>
      <c r="B3" s="9">
        <v>123.2</v>
      </c>
      <c r="C3" s="9">
        <v>5.9</v>
      </c>
      <c r="D3" s="9">
        <f t="shared" ref="D3:D8" si="0">B3/C3</f>
        <v>20.881355932203387</v>
      </c>
      <c r="E3" s="1">
        <f t="shared" ref="E3:E8" si="1">1/(B3*B3)</f>
        <v>6.5883791533142178E-5</v>
      </c>
      <c r="F3">
        <f t="shared" ref="F3:F8" si="2">(0.3/B3)*2*E3</f>
        <v>3.2086262110296512E-7</v>
      </c>
      <c r="H3">
        <v>6.5883791533142178E-5</v>
      </c>
      <c r="I3">
        <v>3.2086262110296512E-7</v>
      </c>
    </row>
    <row r="4" spans="1:9" x14ac:dyDescent="0.25">
      <c r="A4" s="8">
        <v>30.15</v>
      </c>
      <c r="B4" s="9">
        <v>116.8</v>
      </c>
      <c r="C4" s="9">
        <v>5.2</v>
      </c>
      <c r="D4" s="9">
        <f t="shared" si="0"/>
        <v>22.46153846153846</v>
      </c>
      <c r="E4" s="1">
        <f t="shared" si="1"/>
        <v>7.3301745167948961E-5</v>
      </c>
      <c r="F4">
        <f t="shared" si="2"/>
        <v>3.7655006079425832E-7</v>
      </c>
      <c r="H4">
        <v>7.3301745167948961E-5</v>
      </c>
      <c r="I4">
        <v>3.7655006079425832E-7</v>
      </c>
    </row>
    <row r="5" spans="1:9" x14ac:dyDescent="0.25">
      <c r="A5" s="8">
        <v>40.4</v>
      </c>
      <c r="B5" s="9">
        <v>108</v>
      </c>
      <c r="C5" s="9">
        <v>5.4</v>
      </c>
      <c r="D5" s="9">
        <f t="shared" si="0"/>
        <v>20</v>
      </c>
      <c r="E5" s="1">
        <f t="shared" si="1"/>
        <v>8.573388203017832E-5</v>
      </c>
      <c r="F5">
        <f t="shared" si="2"/>
        <v>4.7629934461210179E-7</v>
      </c>
      <c r="H5">
        <v>8.573388203017832E-5</v>
      </c>
      <c r="I5">
        <v>4.7629934461210179E-7</v>
      </c>
    </row>
    <row r="6" spans="1:9" x14ac:dyDescent="0.25">
      <c r="A6" s="8">
        <v>50.25</v>
      </c>
      <c r="B6" s="9">
        <v>102.7</v>
      </c>
      <c r="C6" s="9">
        <v>5.2</v>
      </c>
      <c r="D6" s="9">
        <f t="shared" si="0"/>
        <v>19.75</v>
      </c>
      <c r="E6" s="1">
        <f t="shared" si="1"/>
        <v>9.4811084174228633E-5</v>
      </c>
      <c r="F6">
        <f t="shared" si="2"/>
        <v>5.5391091046287416E-7</v>
      </c>
      <c r="H6">
        <v>9.4811084174228633E-5</v>
      </c>
      <c r="I6">
        <v>5.5391091046287416E-7</v>
      </c>
    </row>
    <row r="7" spans="1:9" x14ac:dyDescent="0.25">
      <c r="A7" s="8">
        <v>60.75</v>
      </c>
      <c r="B7" s="9">
        <v>96.2</v>
      </c>
      <c r="C7" s="9">
        <v>5.2</v>
      </c>
      <c r="D7" s="9">
        <f t="shared" si="0"/>
        <v>18.5</v>
      </c>
      <c r="E7" s="1">
        <f t="shared" si="1"/>
        <v>1.0805624111237416E-4</v>
      </c>
      <c r="F7">
        <f t="shared" si="2"/>
        <v>6.7394744976532739E-7</v>
      </c>
      <c r="H7">
        <v>1.0805624111237416E-4</v>
      </c>
      <c r="I7">
        <v>6.7394744976532739E-7</v>
      </c>
    </row>
    <row r="8" spans="1:9" x14ac:dyDescent="0.25">
      <c r="A8" s="8">
        <v>70</v>
      </c>
      <c r="B8" s="9">
        <v>92.1</v>
      </c>
      <c r="C8" s="9">
        <v>4.7</v>
      </c>
      <c r="D8" s="9">
        <f t="shared" si="0"/>
        <v>19.595744680851062</v>
      </c>
      <c r="E8" s="1">
        <f t="shared" si="1"/>
        <v>1.1789102389533164E-4</v>
      </c>
      <c r="F8">
        <f t="shared" si="2"/>
        <v>7.6801969964385429E-7</v>
      </c>
      <c r="H8">
        <v>1.1789102389533164E-4</v>
      </c>
      <c r="I8">
        <v>7.6801969964385429E-7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B284-BC01-4B89-A236-E8B279AE980E}">
  <dimension ref="A1:K13"/>
  <sheetViews>
    <sheetView workbookViewId="0">
      <selection activeCell="D2" sqref="D2:K3"/>
    </sheetView>
  </sheetViews>
  <sheetFormatPr defaultRowHeight="15" x14ac:dyDescent="0.25"/>
  <sheetData>
    <row r="1" spans="1:11" x14ac:dyDescent="0.25">
      <c r="A1">
        <v>2.5499999999999998</v>
      </c>
    </row>
    <row r="2" spans="1:11" x14ac:dyDescent="0.25">
      <c r="A2">
        <v>2.5</v>
      </c>
      <c r="D2" s="2" t="s">
        <v>4</v>
      </c>
      <c r="E2" s="3">
        <v>1</v>
      </c>
      <c r="F2" s="3">
        <v>2</v>
      </c>
      <c r="G2" s="3">
        <v>3</v>
      </c>
      <c r="H2" s="3">
        <v>4</v>
      </c>
      <c r="I2" s="3">
        <v>5</v>
      </c>
      <c r="J2" s="3">
        <v>6</v>
      </c>
      <c r="K2" s="4">
        <v>7</v>
      </c>
    </row>
    <row r="3" spans="1:11" x14ac:dyDescent="0.25">
      <c r="A3">
        <v>1.74</v>
      </c>
      <c r="B3">
        <f>AVEDEV(A1:A13)</f>
        <v>0.27337278106508872</v>
      </c>
      <c r="D3" s="2" t="s">
        <v>0</v>
      </c>
      <c r="E3" s="5">
        <v>13.15</v>
      </c>
      <c r="F3" s="5">
        <v>20.2</v>
      </c>
      <c r="G3" s="5">
        <v>30.15</v>
      </c>
      <c r="H3" s="5">
        <v>40.4</v>
      </c>
      <c r="I3" s="5">
        <v>50.25</v>
      </c>
      <c r="J3" s="5">
        <v>60.75</v>
      </c>
      <c r="K3" s="6">
        <v>70</v>
      </c>
    </row>
    <row r="4" spans="1:11" x14ac:dyDescent="0.25">
      <c r="A4">
        <v>1.82</v>
      </c>
    </row>
    <row r="5" spans="1:11" x14ac:dyDescent="0.25">
      <c r="A5">
        <v>1.83</v>
      </c>
    </row>
    <row r="6" spans="1:11" x14ac:dyDescent="0.25">
      <c r="A6">
        <v>2.17</v>
      </c>
    </row>
    <row r="7" spans="1:11" x14ac:dyDescent="0.25">
      <c r="A7">
        <v>1.98</v>
      </c>
    </row>
    <row r="8" spans="1:11" x14ac:dyDescent="0.25">
      <c r="A8">
        <v>2.38</v>
      </c>
    </row>
    <row r="9" spans="1:11" x14ac:dyDescent="0.25">
      <c r="A9">
        <v>2.73</v>
      </c>
    </row>
    <row r="10" spans="1:11" x14ac:dyDescent="0.25">
      <c r="A10">
        <v>2.6</v>
      </c>
    </row>
    <row r="11" spans="1:11" x14ac:dyDescent="0.25">
      <c r="A11">
        <v>2.2000000000000002</v>
      </c>
    </row>
    <row r="12" spans="1:11" x14ac:dyDescent="0.25">
      <c r="A12">
        <v>1.98</v>
      </c>
    </row>
    <row r="13" spans="1:11" x14ac:dyDescent="0.25">
      <c r="A13">
        <v>2.2999999999999998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61EB-E579-4FD3-A110-4FA9DC7152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2026-05-03T00:28:18Z</dcterms:modified>
</cp:coreProperties>
</file>